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\Downloads\"/>
    </mc:Choice>
  </mc:AlternateContent>
  <xr:revisionPtr revIDLastSave="0" documentId="8_{B9CE9F62-30C1-49A8-B26E-6F1724F3263D}" xr6:coauthVersionLast="36" xr6:coauthVersionMax="36" xr10:uidLastSave="{00000000-0000-0000-0000-000000000000}"/>
  <bookViews>
    <workbookView xWindow="0" yWindow="0" windowWidth="23040" windowHeight="9060" xr2:uid="{972A8A8C-6F5A-4C66-86C1-2E089F9ABA0B}"/>
  </bookViews>
  <sheets>
    <sheet name="Sheet1" sheetId="1" r:id="rId1"/>
    <sheet name="ESRI_MAPINFO_SHEET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<sst xmlns="http://schemas.openxmlformats.org/spreadsheetml/2006/main" count="70" uniqueCount="69">
  <si>
    <t>GEO (Labels)</t>
  </si>
  <si>
    <t>Average income per employee</t>
  </si>
  <si>
    <t>European Union - 27 countries</t>
  </si>
  <si>
    <t>Euro area – 20 countries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</si>
  <si>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</si>
  <si>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</si>
  <si>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</si>
  <si>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</si>
  <si>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</si>
  <si>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</si>
  <si>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</si>
  <si>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</si>
  <si>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</si>
  <si>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</si>
  <si>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</si>
  <si>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</si>
  <si>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</si>
  <si>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</si>
  <si>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</si>
  <si>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</si>
  <si>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</si>
  <si>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</si>
  <si>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</si>
  <si>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</si>
  <si>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</si>
  <si>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</si>
  <si>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</si>
  <si>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</si>
  <si>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</si>
  <si>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</si>
  <si>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</si>
  <si>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</si>
  <si>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Switzerland</t>
  </si>
  <si>
    <t>Expenses per trip (1-3 days)</t>
  </si>
  <si>
    <t>correlation between variables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</si>
  <si>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</si>
  <si>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</si>
  <si>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</si>
  <si>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</si>
  <si>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</si>
  <si>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</si>
  <si>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</si>
  <si>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</si>
  <si>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</si>
  <si>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</si>
  <si>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</si>
  <si>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</si>
  <si>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</si>
  <si>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</si>
  <si>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</si>
  <si>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</si>
  <si>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</si>
  <si>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</si>
  <si>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</si>
  <si>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</si>
  <si>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</si>
  <si>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</si>
  <si>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</si>
  <si>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</si>
  <si>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</si>
  <si>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RESIDUAL OUTPUT</t>
  </si>
  <si>
    <t>Observation</t>
  </si>
  <si>
    <t>Predicted Y</t>
  </si>
  <si>
    <t>Residuals</t>
  </si>
  <si>
    <t>PROBABILITY OUTPUT</t>
  </si>
  <si>
    <t>Percentile</t>
  </si>
  <si>
    <t>Y</t>
  </si>
  <si>
    <t>&lt; 0,05</t>
  </si>
  <si>
    <t>Predicted Exp per trip =202,61 +0,007Average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</si>
</sst>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9EE2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4" xfId="0" applyNumberFormat="1" applyFont="1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5" xfId="0" applyFill="1" applyBorder="1" applyAlignment="1"/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RO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Sheet1!$C$4:$C$29</c:f>
              <c:numCache>
                <c:formatCode>General</c:formatCode>
                <c:ptCount val="26"/>
                <c:pt idx="0">
                  <c:v>57989</c:v>
                </c:pt>
                <c:pt idx="1">
                  <c:v>13503</c:v>
                </c:pt>
                <c:pt idx="2">
                  <c:v>23454</c:v>
                </c:pt>
                <c:pt idx="3">
                  <c:v>67604</c:v>
                </c:pt>
                <c:pt idx="4">
                  <c:v>50998</c:v>
                </c:pt>
                <c:pt idx="5">
                  <c:v>24899</c:v>
                </c:pt>
                <c:pt idx="6">
                  <c:v>58679</c:v>
                </c:pt>
                <c:pt idx="7">
                  <c:v>17013</c:v>
                </c:pt>
                <c:pt idx="8">
                  <c:v>32587</c:v>
                </c:pt>
                <c:pt idx="9">
                  <c:v>42662</c:v>
                </c:pt>
                <c:pt idx="10">
                  <c:v>21523</c:v>
                </c:pt>
                <c:pt idx="11">
                  <c:v>32749</c:v>
                </c:pt>
                <c:pt idx="12">
                  <c:v>26430</c:v>
                </c:pt>
                <c:pt idx="13">
                  <c:v>22293</c:v>
                </c:pt>
                <c:pt idx="14">
                  <c:v>27178</c:v>
                </c:pt>
                <c:pt idx="15">
                  <c:v>81064</c:v>
                </c:pt>
                <c:pt idx="16">
                  <c:v>16895</c:v>
                </c:pt>
                <c:pt idx="17">
                  <c:v>29989</c:v>
                </c:pt>
                <c:pt idx="18">
                  <c:v>54508</c:v>
                </c:pt>
                <c:pt idx="19">
                  <c:v>18054</c:v>
                </c:pt>
                <c:pt idx="20">
                  <c:v>22933</c:v>
                </c:pt>
                <c:pt idx="21">
                  <c:v>17739</c:v>
                </c:pt>
                <c:pt idx="22">
                  <c:v>33081</c:v>
                </c:pt>
                <c:pt idx="23">
                  <c:v>19001</c:v>
                </c:pt>
                <c:pt idx="24">
                  <c:v>48391</c:v>
                </c:pt>
                <c:pt idx="25">
                  <c:v>44619</c:v>
                </c:pt>
              </c:numCache>
            </c:numRef>
          </c:xVal>
          <c:yVal>
            <c:numRef>
              <c:f>Sheet1!$J$26:$J$51</c:f>
              <c:numCache>
                <c:formatCode>General</c:formatCode>
                <c:ptCount val="26"/>
                <c:pt idx="0">
                  <c:v>27.224865798650853</c:v>
                </c:pt>
                <c:pt idx="1">
                  <c:v>-1.985945556934098</c:v>
                </c:pt>
                <c:pt idx="2">
                  <c:v>-129.55875107328919</c:v>
                </c:pt>
                <c:pt idx="3">
                  <c:v>-230.62964480729374</c:v>
                </c:pt>
                <c:pt idx="4">
                  <c:v>112.85221615186538</c:v>
                </c:pt>
                <c:pt idx="5">
                  <c:v>74.226052064975022</c:v>
                </c:pt>
                <c:pt idx="6">
                  <c:v>-52.669311249513612</c:v>
                </c:pt>
                <c:pt idx="7">
                  <c:v>125.61454511109866</c:v>
                </c:pt>
                <c:pt idx="8">
                  <c:v>-104.97898148037103</c:v>
                </c:pt>
                <c:pt idx="9">
                  <c:v>-121.9596101184253</c:v>
                </c:pt>
                <c:pt idx="10">
                  <c:v>17.281300926719041</c:v>
                </c:pt>
                <c:pt idx="11">
                  <c:v>48.882733473538167</c:v>
                </c:pt>
                <c:pt idx="12">
                  <c:v>284.77349400593164</c:v>
                </c:pt>
                <c:pt idx="13">
                  <c:v>-94.134374909638495</c:v>
                </c:pt>
                <c:pt idx="14">
                  <c:v>-160.13401966367272</c:v>
                </c:pt>
                <c:pt idx="15">
                  <c:v>391.58568407923622</c:v>
                </c:pt>
                <c:pt idx="16">
                  <c:v>-57.793494176316756</c:v>
                </c:pt>
                <c:pt idx="17">
                  <c:v>187.45944166619614</c:v>
                </c:pt>
                <c:pt idx="18">
                  <c:v>-45.907293180101874</c:v>
                </c:pt>
                <c:pt idx="19">
                  <c:v>444.27741712973739</c:v>
                </c:pt>
                <c:pt idx="20">
                  <c:v>-93.516365215182418</c:v>
                </c:pt>
                <c:pt idx="21">
                  <c:v>-86.524806391752691</c:v>
                </c:pt>
                <c:pt idx="22">
                  <c:v>-208.67498649746273</c:v>
                </c:pt>
                <c:pt idx="23">
                  <c:v>-1.9411997754970685</c:v>
                </c:pt>
                <c:pt idx="24">
                  <c:v>-222.18056708789567</c:v>
                </c:pt>
                <c:pt idx="25">
                  <c:v>-101.58839922459623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AF-41BB-B6C1-ABF50ABDF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35119"/>
        <c:axId val="1256575967"/>
      </c:scatterChart>
      <c:valAx>
        <c:axId val="128253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RO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6575967"/>
        <c:crosses val="autoZero"/>
        <c:crossBetween val="midCat"/>
      </c:valAx>
      <c:valAx>
        <c:axId val="1256575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RO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25351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RO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Sheet1!$C$4:$C$29</c:f>
              <c:numCache>
                <c:formatCode>General</c:formatCode>
                <c:ptCount val="26"/>
                <c:pt idx="0">
                  <c:v>57989</c:v>
                </c:pt>
                <c:pt idx="1">
                  <c:v>13503</c:v>
                </c:pt>
                <c:pt idx="2">
                  <c:v>23454</c:v>
                </c:pt>
                <c:pt idx="3">
                  <c:v>67604</c:v>
                </c:pt>
                <c:pt idx="4">
                  <c:v>50998</c:v>
                </c:pt>
                <c:pt idx="5">
                  <c:v>24899</c:v>
                </c:pt>
                <c:pt idx="6">
                  <c:v>58679</c:v>
                </c:pt>
                <c:pt idx="7">
                  <c:v>17013</c:v>
                </c:pt>
                <c:pt idx="8">
                  <c:v>32587</c:v>
                </c:pt>
                <c:pt idx="9">
                  <c:v>42662</c:v>
                </c:pt>
                <c:pt idx="10">
                  <c:v>21523</c:v>
                </c:pt>
                <c:pt idx="11">
                  <c:v>32749</c:v>
                </c:pt>
                <c:pt idx="12">
                  <c:v>26430</c:v>
                </c:pt>
                <c:pt idx="13">
                  <c:v>22293</c:v>
                </c:pt>
                <c:pt idx="14">
                  <c:v>27178</c:v>
                </c:pt>
                <c:pt idx="15">
                  <c:v>81064</c:v>
                </c:pt>
                <c:pt idx="16">
                  <c:v>16895</c:v>
                </c:pt>
                <c:pt idx="17">
                  <c:v>29989</c:v>
                </c:pt>
                <c:pt idx="18">
                  <c:v>54508</c:v>
                </c:pt>
                <c:pt idx="19">
                  <c:v>18054</c:v>
                </c:pt>
                <c:pt idx="20">
                  <c:v>22933</c:v>
                </c:pt>
                <c:pt idx="21">
                  <c:v>17739</c:v>
                </c:pt>
                <c:pt idx="22">
                  <c:v>33081</c:v>
                </c:pt>
                <c:pt idx="23">
                  <c:v>19001</c:v>
                </c:pt>
                <c:pt idx="24">
                  <c:v>48391</c:v>
                </c:pt>
                <c:pt idx="25">
                  <c:v>44619</c:v>
                </c:pt>
              </c:numCache>
            </c:numRef>
          </c:xVal>
          <c:yVal>
            <c:numRef>
              <c:f>Sheet1!$B$4:$B$29</c:f>
              <c:numCache>
                <c:formatCode>General</c:formatCode>
                <c:ptCount val="26"/>
                <c:pt idx="0">
                  <c:v>673.09</c:v>
                </c:pt>
                <c:pt idx="1">
                  <c:v>303.83999999999997</c:v>
                </c:pt>
                <c:pt idx="2">
                  <c:v>252.33</c:v>
                </c:pt>
                <c:pt idx="3">
                  <c:v>488.73</c:v>
                </c:pt>
                <c:pt idx="4">
                  <c:v>705.28</c:v>
                </c:pt>
                <c:pt idx="5">
                  <c:v>467.16</c:v>
                </c:pt>
                <c:pt idx="6">
                  <c:v>598.47</c:v>
                </c:pt>
                <c:pt idx="7">
                  <c:v>458.27</c:v>
                </c:pt>
                <c:pt idx="8">
                  <c:v>346.72</c:v>
                </c:pt>
                <c:pt idx="9">
                  <c:v>406.75</c:v>
                </c:pt>
                <c:pt idx="10">
                  <c:v>384.41</c:v>
                </c:pt>
                <c:pt idx="11">
                  <c:v>501.82</c:v>
                </c:pt>
                <c:pt idx="12">
                  <c:v>689.41</c:v>
                </c:pt>
                <c:pt idx="13">
                  <c:v>278.88</c:v>
                </c:pt>
                <c:pt idx="14">
                  <c:v>250.22</c:v>
                </c:pt>
                <c:pt idx="15">
                  <c:v>1213.83</c:v>
                </c:pt>
                <c:pt idx="16">
                  <c:v>273.95999999999998</c:v>
                </c:pt>
                <c:pt idx="17">
                  <c:v>619.29999999999995</c:v>
                </c:pt>
                <c:pt idx="18">
                  <c:v>573.35</c:v>
                </c:pt>
                <c:pt idx="19">
                  <c:v>784.89</c:v>
                </c:pt>
                <c:pt idx="20">
                  <c:v>284.39</c:v>
                </c:pt>
                <c:pt idx="21">
                  <c:v>251.68</c:v>
                </c:pt>
                <c:pt idx="22">
                  <c:v>246.8</c:v>
                </c:pt>
                <c:pt idx="23">
                  <c:v>345.91</c:v>
                </c:pt>
                <c:pt idx="24">
                  <c:v>350.32</c:v>
                </c:pt>
                <c:pt idx="25">
                  <c:v>442.08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F9-4938-9DA7-B479FEE85E54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Sheet1!$C$4:$C$29</c:f>
              <c:numCache>
                <c:formatCode>General</c:formatCode>
                <c:ptCount val="26"/>
                <c:pt idx="0">
                  <c:v>57989</c:v>
                </c:pt>
                <c:pt idx="1">
                  <c:v>13503</c:v>
                </c:pt>
                <c:pt idx="2">
                  <c:v>23454</c:v>
                </c:pt>
                <c:pt idx="3">
                  <c:v>67604</c:v>
                </c:pt>
                <c:pt idx="4">
                  <c:v>50998</c:v>
                </c:pt>
                <c:pt idx="5">
                  <c:v>24899</c:v>
                </c:pt>
                <c:pt idx="6">
                  <c:v>58679</c:v>
                </c:pt>
                <c:pt idx="7">
                  <c:v>17013</c:v>
                </c:pt>
                <c:pt idx="8">
                  <c:v>32587</c:v>
                </c:pt>
                <c:pt idx="9">
                  <c:v>42662</c:v>
                </c:pt>
                <c:pt idx="10">
                  <c:v>21523</c:v>
                </c:pt>
                <c:pt idx="11">
                  <c:v>32749</c:v>
                </c:pt>
                <c:pt idx="12">
                  <c:v>26430</c:v>
                </c:pt>
                <c:pt idx="13">
                  <c:v>22293</c:v>
                </c:pt>
                <c:pt idx="14">
                  <c:v>27178</c:v>
                </c:pt>
                <c:pt idx="15">
                  <c:v>81064</c:v>
                </c:pt>
                <c:pt idx="16">
                  <c:v>16895</c:v>
                </c:pt>
                <c:pt idx="17">
                  <c:v>29989</c:v>
                </c:pt>
                <c:pt idx="18">
                  <c:v>54508</c:v>
                </c:pt>
                <c:pt idx="19">
                  <c:v>18054</c:v>
                </c:pt>
                <c:pt idx="20">
                  <c:v>22933</c:v>
                </c:pt>
                <c:pt idx="21">
                  <c:v>17739</c:v>
                </c:pt>
                <c:pt idx="22">
                  <c:v>33081</c:v>
                </c:pt>
                <c:pt idx="23">
                  <c:v>19001</c:v>
                </c:pt>
                <c:pt idx="24">
                  <c:v>48391</c:v>
                </c:pt>
                <c:pt idx="25">
                  <c:v>44619</c:v>
                </c:pt>
              </c:numCache>
            </c:numRef>
          </c:xVal>
          <c:yVal>
            <c:numRef>
              <c:f>Sheet1!$I$26:$I$51</c:f>
              <c:numCache>
                <c:formatCode>General</c:formatCode>
                <c:ptCount val="26"/>
                <c:pt idx="0">
                  <c:v>645.86513420134918</c:v>
                </c:pt>
                <c:pt idx="1">
                  <c:v>305.82594555693407</c:v>
                </c:pt>
                <c:pt idx="2">
                  <c:v>381.8887510732892</c:v>
                </c:pt>
                <c:pt idx="3">
                  <c:v>719.35964480729376</c:v>
                </c:pt>
                <c:pt idx="4">
                  <c:v>592.4277838481346</c:v>
                </c:pt>
                <c:pt idx="5">
                  <c:v>392.933947935025</c:v>
                </c:pt>
                <c:pt idx="6">
                  <c:v>651.13931124951364</c:v>
                </c:pt>
                <c:pt idx="7">
                  <c:v>332.65545488890132</c:v>
                </c:pt>
                <c:pt idx="8">
                  <c:v>451.69898148037106</c:v>
                </c:pt>
                <c:pt idx="9">
                  <c:v>528.7096101184253</c:v>
                </c:pt>
                <c:pt idx="10">
                  <c:v>367.12869907328098</c:v>
                </c:pt>
                <c:pt idx="11">
                  <c:v>452.93726652646183</c:v>
                </c:pt>
                <c:pt idx="12">
                  <c:v>404.63650599406833</c:v>
                </c:pt>
                <c:pt idx="13">
                  <c:v>373.01437490963849</c:v>
                </c:pt>
                <c:pt idx="14">
                  <c:v>410.35401966367272</c:v>
                </c:pt>
                <c:pt idx="15">
                  <c:v>822.24431592076371</c:v>
                </c:pt>
                <c:pt idx="16">
                  <c:v>331.75349417631674</c:v>
                </c:pt>
                <c:pt idx="17">
                  <c:v>431.84055833380381</c:v>
                </c:pt>
                <c:pt idx="18">
                  <c:v>619.2572931801019</c:v>
                </c:pt>
                <c:pt idx="19">
                  <c:v>340.6125828702626</c:v>
                </c:pt>
                <c:pt idx="20">
                  <c:v>377.9063652151824</c:v>
                </c:pt>
                <c:pt idx="21">
                  <c:v>338.2048063917527</c:v>
                </c:pt>
                <c:pt idx="22">
                  <c:v>455.47498649746274</c:v>
                </c:pt>
                <c:pt idx="23">
                  <c:v>347.85119977549709</c:v>
                </c:pt>
                <c:pt idx="24">
                  <c:v>572.50056708789566</c:v>
                </c:pt>
                <c:pt idx="25">
                  <c:v>543.66839922459621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F9-4938-9DA7-B479FEE8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33519"/>
        <c:axId val="1256575135"/>
      </c:scatterChart>
      <c:valAx>
        <c:axId val="128253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RO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6575135"/>
        <c:crosses val="autoZero"/>
        <c:crossBetween val="midCat"/>
      </c:valAx>
      <c:valAx>
        <c:axId val="1256575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RO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2533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RO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Sheet1!$L$26:$L$51</c:f>
              <c:numCache>
                <c:formatCode>General</c:formatCode>
                <c:ptCount val="26"/>
                <c:pt idx="0">
                  <c:v>1.9230769230769231</c:v>
                </c:pt>
                <c:pt idx="1">
                  <c:v>5.7692307692307692</c:v>
                </c:pt>
                <c:pt idx="2">
                  <c:v>9.615384615384615</c:v>
                </c:pt>
                <c:pt idx="3">
                  <c:v>13.461538461538462</c:v>
                </c:pt>
                <c:pt idx="4">
                  <c:v>17.307692307692307</c:v>
                </c:pt>
                <c:pt idx="5">
                  <c:v>21.153846153846153</c:v>
                </c:pt>
                <c:pt idx="6">
                  <c:v>25</c:v>
                </c:pt>
                <c:pt idx="7">
                  <c:v>28.846153846153847</c:v>
                </c:pt>
                <c:pt idx="8">
                  <c:v>32.692307692307693</c:v>
                </c:pt>
                <c:pt idx="9">
                  <c:v>36.538461538461533</c:v>
                </c:pt>
                <c:pt idx="10">
                  <c:v>40.38461538461538</c:v>
                </c:pt>
                <c:pt idx="11">
                  <c:v>44.230769230769226</c:v>
                </c:pt>
                <c:pt idx="12">
                  <c:v>48.076923076923073</c:v>
                </c:pt>
                <c:pt idx="13">
                  <c:v>51.92307692307692</c:v>
                </c:pt>
                <c:pt idx="14">
                  <c:v>55.769230769230766</c:v>
                </c:pt>
                <c:pt idx="15">
                  <c:v>59.615384615384613</c:v>
                </c:pt>
                <c:pt idx="16">
                  <c:v>63.46153846153846</c:v>
                </c:pt>
                <c:pt idx="17">
                  <c:v>67.307692307692307</c:v>
                </c:pt>
                <c:pt idx="18">
                  <c:v>71.153846153846146</c:v>
                </c:pt>
                <c:pt idx="19">
                  <c:v>75</c:v>
                </c:pt>
                <c:pt idx="20">
                  <c:v>78.84615384615384</c:v>
                </c:pt>
                <c:pt idx="21">
                  <c:v>82.692307692307693</c:v>
                </c:pt>
                <c:pt idx="22">
                  <c:v>86.538461538461533</c:v>
                </c:pt>
                <c:pt idx="23">
                  <c:v>90.384615384615387</c:v>
                </c:pt>
                <c:pt idx="24">
                  <c:v>94.230769230769226</c:v>
                </c:pt>
                <c:pt idx="25">
                  <c:v>98.07692307692308</c:v>
                </c:pt>
              </c:numCache>
            </c:numRef>
          </c:xVal>
          <c:yVal>
            <c:numRef>
              <c:f>Sheet1!$M$26:$M$51</c:f>
              <c:numCache>
                <c:formatCode>General</c:formatCode>
                <c:ptCount val="26"/>
                <c:pt idx="0">
                  <c:v>246.8</c:v>
                </c:pt>
                <c:pt idx="1">
                  <c:v>250.22</c:v>
                </c:pt>
                <c:pt idx="2">
                  <c:v>251.68</c:v>
                </c:pt>
                <c:pt idx="3">
                  <c:v>252.33</c:v>
                </c:pt>
                <c:pt idx="4">
                  <c:v>273.95999999999998</c:v>
                </c:pt>
                <c:pt idx="5">
                  <c:v>278.88</c:v>
                </c:pt>
                <c:pt idx="6">
                  <c:v>284.39</c:v>
                </c:pt>
                <c:pt idx="7">
                  <c:v>303.83999999999997</c:v>
                </c:pt>
                <c:pt idx="8">
                  <c:v>345.91</c:v>
                </c:pt>
                <c:pt idx="9">
                  <c:v>346.72</c:v>
                </c:pt>
                <c:pt idx="10">
                  <c:v>350.32</c:v>
                </c:pt>
                <c:pt idx="11">
                  <c:v>384.41</c:v>
                </c:pt>
                <c:pt idx="12">
                  <c:v>406.75</c:v>
                </c:pt>
                <c:pt idx="13">
                  <c:v>442.08</c:v>
                </c:pt>
                <c:pt idx="14">
                  <c:v>458.27</c:v>
                </c:pt>
                <c:pt idx="15">
                  <c:v>467.16</c:v>
                </c:pt>
                <c:pt idx="16">
                  <c:v>488.73</c:v>
                </c:pt>
                <c:pt idx="17">
                  <c:v>501.82</c:v>
                </c:pt>
                <c:pt idx="18">
                  <c:v>573.35</c:v>
                </c:pt>
                <c:pt idx="19">
                  <c:v>598.47</c:v>
                </c:pt>
                <c:pt idx="20">
                  <c:v>619.29999999999995</c:v>
                </c:pt>
                <c:pt idx="21">
                  <c:v>673.09</c:v>
                </c:pt>
                <c:pt idx="22">
                  <c:v>689.41</c:v>
                </c:pt>
                <c:pt idx="23">
                  <c:v>705.28</c:v>
                </c:pt>
                <c:pt idx="24">
                  <c:v>784.89</c:v>
                </c:pt>
                <c:pt idx="25">
                  <c:v>1213.83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6-4CFF-888D-EC71E9714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33519"/>
        <c:axId val="1276365391"/>
      </c:scatterChart>
      <c:valAx>
        <c:axId val="128253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RO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6365391"/>
        <c:crosses val="autoZero"/>
        <c:crossBetween val="midCat"/>
      </c:valAx>
      <c:valAx>
        <c:axId val="1276365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RO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25335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255270</xdr:colOff>
      <xdr:row>9</xdr:row>
      <xdr:rowOff>9525</xdr:rowOff>
    </xdr:from>
    <xdr:to>
      <xdr:col>22</xdr:col>
      <xdr:colOff>255270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0AC51-4E45-4D16-862D-8B677742A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255269</xdr:colOff>
      <xdr:row>1</xdr:row>
      <xdr:rowOff>11430</xdr:rowOff>
    </xdr:from>
    <xdr:to>
      <xdr:col>23</xdr:col>
      <xdr:colOff>255269</xdr:colOff>
      <xdr:row>11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EF5AC-DE08-4D4A-86A5-4F27CD899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255270</xdr:colOff>
      <xdr:row>3</xdr:row>
      <xdr:rowOff>11430</xdr:rowOff>
    </xdr:from>
    <xdr:to>
      <xdr:col>24</xdr:col>
      <xdr:colOff>255270</xdr:colOff>
      <xdr:row>13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B09F2F-9853-4B26-A7EF-23B0DCFA8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5763B5A-0F05-4813-9DD9-A7A3341D51CC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B1D6-4DFF-4D22-984E-3C51308CFB30}">
  <dimension ref="A1:P51"/>
  <sheetViews>
    <sheetView tabSelected="1" workbookViewId="0">
      <selection activeCell="M13" sqref="M13"/>
    </sheetView>
  </sheetViews>
  <sheetFormatPr defaultRowHeight="14.4" x14ac:dyDescent="0.55000000000000004"/>
  <cols>
    <col min="1" max="1" width="22.26171875" customWidth="1"/>
    <col min="2" max="2" width="16.578125" customWidth="1"/>
    <col min="3" max="3" width="21.41796875" customWidth="1"/>
    <col min="8" max="8" width="17.15625" customWidth="1"/>
    <col min="9" max="9" width="25.734375" customWidth="1"/>
    <col min="13" max="13" width="13.83984375" customWidth="1"/>
  </cols>
  <sheetData>
    <row r="1" spans="1:14" ht="27.9" thickBot="1" x14ac:dyDescent="0.6">
      <c r="A1" s="2" t="s">
        <v>0</v>
      </c>
      <c r="B1" s="3" t="s">
        <v>33</v>
      </c>
      <c r="C1" s="3" t="s">
        <v>1</v>
      </c>
      <c r="D1">
        <v>2023</v>
      </c>
    </row>
    <row r="2" spans="1:14" ht="14.7" thickBot="1" x14ac:dyDescent="0.6">
      <c r="A2" s="4" t="s">
        <v>2</v>
      </c>
      <c r="B2" s="1">
        <v>484.19</v>
      </c>
      <c r="C2" s="1">
        <v>37863</v>
      </c>
      <c r="E2">
        <f>CORREL(B2:B32,C2:C32)</f>
        <v>0.61953151219064428</v>
      </c>
      <c r="F2" t="s">
        <v>34</v>
      </c>
      <c r="H2" t="s">
        <v>35</v>
      </c>
    </row>
    <row r="3" spans="1:14" ht="14.7" thickBot="1" x14ac:dyDescent="0.6">
      <c r="A3" s="4" t="s">
        <v>3</v>
      </c>
      <c r="B3" s="1">
        <v>515.29999999999995</v>
      </c>
      <c r="C3" s="1">
        <v>41848</v>
      </c>
    </row>
    <row r="4" spans="1:14" ht="14.7" thickBot="1" x14ac:dyDescent="0.6">
      <c r="A4" s="4" t="s">
        <v>4</v>
      </c>
      <c r="B4" s="1">
        <v>673.09</v>
      </c>
      <c r="C4" s="1">
        <v>57989</v>
      </c>
      <c r="H4" s="9" t="s">
        <v>36</v>
      </c>
      <c r="I4" s="9"/>
    </row>
    <row r="5" spans="1:14" ht="14.7" thickBot="1" x14ac:dyDescent="0.6">
      <c r="A5" s="4" t="s">
        <v>5</v>
      </c>
      <c r="B5" s="1">
        <v>303.83999999999997</v>
      </c>
      <c r="C5" s="1">
        <v>13503</v>
      </c>
      <c r="H5" s="6" t="s">
        <v>37</v>
      </c>
      <c r="I5" s="6">
        <v>0.61869396530563525</v>
      </c>
    </row>
    <row r="6" spans="1:14" ht="14.7" thickBot="1" x14ac:dyDescent="0.6">
      <c r="A6" s="4" t="s">
        <v>6</v>
      </c>
      <c r="B6" s="1">
        <v>252.33</v>
      </c>
      <c r="C6" s="1">
        <v>23454</v>
      </c>
      <c r="H6" s="6" t="s">
        <v>38</v>
      </c>
      <c r="I6" s="6">
        <v>0.38278222270561058</v>
      </c>
      <c r="J6">
        <v>38.270000000000003</v>
      </c>
    </row>
    <row r="7" spans="1:14" ht="14.7" thickBot="1" x14ac:dyDescent="0.6">
      <c r="A7" s="4" t="s">
        <v>7</v>
      </c>
      <c r="B7" s="1">
        <v>488.73</v>
      </c>
      <c r="C7" s="1">
        <v>67604</v>
      </c>
      <c r="H7" s="6" t="s">
        <v>39</v>
      </c>
      <c r="I7" s="6">
        <v>0.35706481531834439</v>
      </c>
    </row>
    <row r="8" spans="1:14" ht="14.7" thickBot="1" x14ac:dyDescent="0.6">
      <c r="A8" s="4" t="s">
        <v>8</v>
      </c>
      <c r="B8" s="1">
        <v>705.28</v>
      </c>
      <c r="C8" s="1">
        <v>50998</v>
      </c>
      <c r="H8" s="6" t="s">
        <v>40</v>
      </c>
      <c r="I8" s="6">
        <v>178.24112006726554</v>
      </c>
    </row>
    <row r="9" spans="1:14" ht="14.7" thickBot="1" x14ac:dyDescent="0.6">
      <c r="A9" s="4" t="s">
        <v>9</v>
      </c>
      <c r="B9" s="1">
        <v>467.16</v>
      </c>
      <c r="C9" s="1">
        <v>24899</v>
      </c>
      <c r="H9" s="7" t="s">
        <v>41</v>
      </c>
      <c r="I9" s="7">
        <v>26</v>
      </c>
    </row>
    <row r="10" spans="1:14" ht="14.7" thickBot="1" x14ac:dyDescent="0.6">
      <c r="A10" s="4" t="s">
        <v>10</v>
      </c>
      <c r="B10" s="1">
        <v>598.47</v>
      </c>
      <c r="C10" s="1">
        <v>58679</v>
      </c>
    </row>
    <row r="11" spans="1:14" ht="14.7" thickBot="1" x14ac:dyDescent="0.6">
      <c r="A11" s="4" t="s">
        <v>11</v>
      </c>
      <c r="B11" s="1">
        <v>458.27</v>
      </c>
      <c r="C11" s="1">
        <v>17013</v>
      </c>
      <c r="H11" t="s">
        <v>42</v>
      </c>
    </row>
    <row r="12" spans="1:14" ht="14.7" thickBot="1" x14ac:dyDescent="0.6">
      <c r="A12" s="4" t="s">
        <v>12</v>
      </c>
      <c r="B12" s="1">
        <v>346.72</v>
      </c>
      <c r="C12" s="1">
        <v>32587</v>
      </c>
      <c r="H12" s="8"/>
      <c r="I12" s="8" t="s">
        <v>47</v>
      </c>
      <c r="J12" s="8" t="s">
        <v>48</v>
      </c>
      <c r="K12" s="8" t="s">
        <v>49</v>
      </c>
      <c r="L12" s="8" t="s">
        <v>50</v>
      </c>
      <c r="M12" s="8" t="s">
        <v>51</v>
      </c>
    </row>
    <row r="13" spans="1:14" ht="14.7" thickBot="1" x14ac:dyDescent="0.6">
      <c r="A13" s="4" t="s">
        <v>13</v>
      </c>
      <c r="B13" s="1">
        <v>406.75</v>
      </c>
      <c r="C13" s="1">
        <v>42662</v>
      </c>
      <c r="H13" s="6" t="s">
        <v>43</v>
      </c>
      <c r="I13" s="6">
        <v>1</v>
      </c>
      <c r="J13" s="6">
        <v>472868.49567738338</v>
      </c>
      <c r="K13" s="6">
        <v>472868.49567738338</v>
      </c>
      <c r="L13" s="6">
        <v>14.884168413303676</v>
      </c>
      <c r="M13" s="6">
        <v>7.5376434853164124E-4</v>
      </c>
      <c r="N13" t="s">
        <v>67</v>
      </c>
    </row>
    <row r="14" spans="1:14" ht="14.7" thickBot="1" x14ac:dyDescent="0.6">
      <c r="A14" s="4" t="s">
        <v>14</v>
      </c>
      <c r="B14" s="1">
        <v>384.41</v>
      </c>
      <c r="C14" s="1">
        <v>21523</v>
      </c>
      <c r="H14" s="6" t="s">
        <v>44</v>
      </c>
      <c r="I14" s="6">
        <v>24</v>
      </c>
      <c r="J14" s="6">
        <v>762477.52518800087</v>
      </c>
      <c r="K14" s="6">
        <v>31769.896882833371</v>
      </c>
      <c r="L14" s="6"/>
      <c r="M14" s="6"/>
    </row>
    <row r="15" spans="1:14" ht="14.7" thickBot="1" x14ac:dyDescent="0.6">
      <c r="A15" s="4" t="s">
        <v>15</v>
      </c>
      <c r="B15" s="1">
        <v>501.82</v>
      </c>
      <c r="C15" s="1">
        <v>32749</v>
      </c>
      <c r="H15" s="7" t="s">
        <v>45</v>
      </c>
      <c r="I15" s="7">
        <v>25</v>
      </c>
      <c r="J15" s="7">
        <v>1235346.0208653843</v>
      </c>
      <c r="K15" s="7"/>
      <c r="L15" s="7"/>
      <c r="M15" s="7"/>
    </row>
    <row r="16" spans="1:14" ht="14.7" thickBot="1" x14ac:dyDescent="0.6">
      <c r="A16" s="4" t="s">
        <v>16</v>
      </c>
      <c r="B16" s="1">
        <v>689.41</v>
      </c>
      <c r="C16" s="1">
        <v>26430</v>
      </c>
    </row>
    <row r="17" spans="1:16" ht="14.7" thickBot="1" x14ac:dyDescent="0.6">
      <c r="A17" s="4" t="s">
        <v>17</v>
      </c>
      <c r="B17" s="1">
        <v>278.88</v>
      </c>
      <c r="C17" s="1">
        <v>22293</v>
      </c>
      <c r="H17" s="8"/>
      <c r="I17" s="8" t="s">
        <v>52</v>
      </c>
      <c r="J17" s="8" t="s">
        <v>40</v>
      </c>
      <c r="K17" s="8" t="s">
        <v>53</v>
      </c>
      <c r="L17" s="8" t="s">
        <v>54</v>
      </c>
      <c r="M17" s="8" t="s">
        <v>55</v>
      </c>
      <c r="N17" s="8" t="s">
        <v>56</v>
      </c>
      <c r="O17" s="8" t="s">
        <v>57</v>
      </c>
      <c r="P17" s="8" t="s">
        <v>58</v>
      </c>
    </row>
    <row r="18" spans="1:16" ht="14.7" thickBot="1" x14ac:dyDescent="0.6">
      <c r="A18" s="4" t="s">
        <v>18</v>
      </c>
      <c r="B18" s="1">
        <v>250.22</v>
      </c>
      <c r="C18" s="1">
        <v>27178</v>
      </c>
      <c r="H18" s="6" t="s">
        <v>46</v>
      </c>
      <c r="I18" s="6">
        <v>202.61259384481031</v>
      </c>
      <c r="J18" s="6">
        <v>77.373429002187336</v>
      </c>
      <c r="K18" s="6">
        <v>2.6186327329383641</v>
      </c>
      <c r="L18" s="6">
        <v>1.5055829091476867E-2</v>
      </c>
      <c r="M18" s="6">
        <v>42.921685018967707</v>
      </c>
      <c r="N18" s="6">
        <v>362.3035026706529</v>
      </c>
      <c r="O18" s="6">
        <v>42.921685018967707</v>
      </c>
      <c r="P18" s="6">
        <v>362.3035026706529</v>
      </c>
    </row>
    <row r="19" spans="1:16" ht="14.7" thickBot="1" x14ac:dyDescent="0.6">
      <c r="A19" s="4" t="s">
        <v>19</v>
      </c>
      <c r="B19" s="1">
        <v>1213.83</v>
      </c>
      <c r="C19" s="1">
        <v>81064</v>
      </c>
      <c r="H19" s="7" t="s">
        <v>59</v>
      </c>
      <c r="I19" s="7">
        <v>7.6437348524123344E-3</v>
      </c>
      <c r="J19" s="7">
        <v>1.9812684601323545E-3</v>
      </c>
      <c r="K19" s="7">
        <v>3.8580005719677737</v>
      </c>
      <c r="L19" s="7">
        <v>7.5376434853164254E-4</v>
      </c>
      <c r="M19" s="7">
        <v>3.554597727346195E-3</v>
      </c>
      <c r="N19" s="7">
        <v>1.1732871977478474E-2</v>
      </c>
      <c r="O19" s="7">
        <v>3.554597727346195E-3</v>
      </c>
      <c r="P19" s="7">
        <v>1.1732871977478474E-2</v>
      </c>
    </row>
    <row r="20" spans="1:16" ht="14.7" thickBot="1" x14ac:dyDescent="0.6">
      <c r="A20" s="4" t="s">
        <v>20</v>
      </c>
      <c r="B20" s="1">
        <v>273.95999999999998</v>
      </c>
      <c r="C20" s="1">
        <v>16895</v>
      </c>
    </row>
    <row r="21" spans="1:16" ht="14.7" thickBot="1" x14ac:dyDescent="0.6">
      <c r="A21" s="4" t="s">
        <v>21</v>
      </c>
      <c r="B21" s="1">
        <v>619.29999999999995</v>
      </c>
      <c r="C21" s="1">
        <v>29989</v>
      </c>
      <c r="E21" t="s">
        <v>68</v>
      </c>
    </row>
    <row r="22" spans="1:16" ht="14.7" thickBot="1" x14ac:dyDescent="0.6">
      <c r="A22" s="4" t="s">
        <v>22</v>
      </c>
      <c r="B22" s="1">
        <v>573.35</v>
      </c>
      <c r="C22" s="1">
        <v>54508</v>
      </c>
    </row>
    <row r="23" spans="1:16" ht="14.7" thickBot="1" x14ac:dyDescent="0.6">
      <c r="A23" s="4" t="s">
        <v>23</v>
      </c>
      <c r="B23" s="1">
        <v>784.89</v>
      </c>
      <c r="C23" s="1">
        <v>18054</v>
      </c>
      <c r="H23" t="s">
        <v>60</v>
      </c>
      <c r="L23" t="s">
        <v>64</v>
      </c>
    </row>
    <row r="24" spans="1:16" ht="14.7" thickBot="1" x14ac:dyDescent="0.6">
      <c r="A24" s="4" t="s">
        <v>24</v>
      </c>
      <c r="B24" s="1">
        <v>284.39</v>
      </c>
      <c r="C24" s="1">
        <v>22933</v>
      </c>
    </row>
    <row r="25" spans="1:16" ht="14.7" thickBot="1" x14ac:dyDescent="0.6">
      <c r="A25" s="4" t="s">
        <v>25</v>
      </c>
      <c r="B25" s="1">
        <v>251.68</v>
      </c>
      <c r="C25" s="1">
        <v>17739</v>
      </c>
      <c r="H25" s="8" t="s">
        <v>61</v>
      </c>
      <c r="I25" s="8" t="s">
        <v>62</v>
      </c>
      <c r="J25" s="8" t="s">
        <v>63</v>
      </c>
      <c r="L25" s="8" t="s">
        <v>65</v>
      </c>
      <c r="M25" s="8" t="s">
        <v>66</v>
      </c>
    </row>
    <row r="26" spans="1:16" ht="14.7" thickBot="1" x14ac:dyDescent="0.6">
      <c r="A26" s="4" t="s">
        <v>26</v>
      </c>
      <c r="B26" s="1">
        <v>246.8</v>
      </c>
      <c r="C26" s="1">
        <v>33081</v>
      </c>
      <c r="H26" s="6">
        <v>1</v>
      </c>
      <c r="I26" s="6">
        <v>645.86513420134918</v>
      </c>
      <c r="J26" s="6">
        <v>27.224865798650853</v>
      </c>
      <c r="L26" s="6">
        <v>1.9230769230769231</v>
      </c>
      <c r="M26" s="6">
        <v>246.8</v>
      </c>
    </row>
    <row r="27" spans="1:16" ht="14.7" thickBot="1" x14ac:dyDescent="0.6">
      <c r="A27" s="4" t="s">
        <v>27</v>
      </c>
      <c r="B27" s="1">
        <v>345.91</v>
      </c>
      <c r="C27" s="1">
        <v>19001</v>
      </c>
      <c r="H27" s="6">
        <v>2</v>
      </c>
      <c r="I27" s="6">
        <v>305.82594555693407</v>
      </c>
      <c r="J27" s="6">
        <v>-1.985945556934098</v>
      </c>
      <c r="L27" s="6">
        <v>5.7692307692307692</v>
      </c>
      <c r="M27" s="6">
        <v>250.22</v>
      </c>
    </row>
    <row r="28" spans="1:16" ht="14.7" thickBot="1" x14ac:dyDescent="0.6">
      <c r="A28" s="4" t="s">
        <v>28</v>
      </c>
      <c r="B28" s="1">
        <v>350.32</v>
      </c>
      <c r="C28" s="1">
        <v>48391</v>
      </c>
      <c r="H28" s="6">
        <v>3</v>
      </c>
      <c r="I28" s="6">
        <v>381.8887510732892</v>
      </c>
      <c r="J28" s="6">
        <v>-129.55875107328919</v>
      </c>
      <c r="L28" s="6">
        <v>9.615384615384615</v>
      </c>
      <c r="M28" s="6">
        <v>251.68</v>
      </c>
    </row>
    <row r="29" spans="1:16" ht="14.7" thickBot="1" x14ac:dyDescent="0.6">
      <c r="A29" s="4" t="s">
        <v>29</v>
      </c>
      <c r="B29" s="1">
        <v>442.08</v>
      </c>
      <c r="C29" s="1">
        <v>44619</v>
      </c>
      <c r="H29" s="6">
        <v>4</v>
      </c>
      <c r="I29" s="6">
        <v>719.35964480729376</v>
      </c>
      <c r="J29" s="6">
        <v>-230.62964480729374</v>
      </c>
      <c r="L29" s="6">
        <v>13.461538461538462</v>
      </c>
      <c r="M29" s="6">
        <v>252.33</v>
      </c>
    </row>
    <row r="30" spans="1:16" ht="14.7" thickBot="1" x14ac:dyDescent="0.6">
      <c r="A30" s="4" t="s">
        <v>30</v>
      </c>
      <c r="B30" s="5"/>
      <c r="C30" s="5"/>
      <c r="H30" s="6">
        <v>5</v>
      </c>
      <c r="I30" s="6">
        <v>592.4277838481346</v>
      </c>
      <c r="J30" s="6">
        <v>112.85221615186538</v>
      </c>
      <c r="L30" s="6">
        <v>17.307692307692307</v>
      </c>
      <c r="M30" s="6">
        <v>273.95999999999998</v>
      </c>
    </row>
    <row r="31" spans="1:16" ht="14.7" thickBot="1" x14ac:dyDescent="0.6">
      <c r="A31" s="4" t="s">
        <v>31</v>
      </c>
      <c r="B31" s="1">
        <v>569.20000000000005</v>
      </c>
      <c r="C31" s="5"/>
      <c r="H31" s="6">
        <v>6</v>
      </c>
      <c r="I31" s="6">
        <v>392.933947935025</v>
      </c>
      <c r="J31" s="6">
        <v>74.226052064975022</v>
      </c>
      <c r="L31" s="6">
        <v>21.153846153846153</v>
      </c>
      <c r="M31" s="6">
        <v>278.88</v>
      </c>
    </row>
    <row r="32" spans="1:16" ht="14.7" thickBot="1" x14ac:dyDescent="0.6">
      <c r="A32" s="4" t="s">
        <v>32</v>
      </c>
      <c r="B32" s="5"/>
      <c r="C32" s="5"/>
      <c r="H32" s="6">
        <v>7</v>
      </c>
      <c r="I32" s="6">
        <v>651.13931124951364</v>
      </c>
      <c r="J32" s="6">
        <v>-52.669311249513612</v>
      </c>
      <c r="L32" s="6">
        <v>25</v>
      </c>
      <c r="M32" s="6">
        <v>284.39</v>
      </c>
    </row>
    <row r="33" spans="8:13" x14ac:dyDescent="0.55000000000000004">
      <c r="H33" s="6">
        <v>8</v>
      </c>
      <c r="I33" s="6">
        <v>332.65545488890132</v>
      </c>
      <c r="J33" s="6">
        <v>125.61454511109866</v>
      </c>
      <c r="L33" s="6">
        <v>28.846153846153847</v>
      </c>
      <c r="M33" s="6">
        <v>303.83999999999997</v>
      </c>
    </row>
    <row r="34" spans="8:13" x14ac:dyDescent="0.55000000000000004">
      <c r="H34" s="6">
        <v>9</v>
      </c>
      <c r="I34" s="6">
        <v>451.69898148037106</v>
      </c>
      <c r="J34" s="6">
        <v>-104.97898148037103</v>
      </c>
      <c r="L34" s="6">
        <v>32.692307692307693</v>
      </c>
      <c r="M34" s="6">
        <v>345.91</v>
      </c>
    </row>
    <row r="35" spans="8:13" x14ac:dyDescent="0.55000000000000004">
      <c r="H35" s="6">
        <v>10</v>
      </c>
      <c r="I35" s="6">
        <v>528.7096101184253</v>
      </c>
      <c r="J35" s="6">
        <v>-121.9596101184253</v>
      </c>
      <c r="L35" s="6">
        <v>36.538461538461533</v>
      </c>
      <c r="M35" s="6">
        <v>346.72</v>
      </c>
    </row>
    <row r="36" spans="8:13" x14ac:dyDescent="0.55000000000000004">
      <c r="H36" s="6">
        <v>11</v>
      </c>
      <c r="I36" s="6">
        <v>367.12869907328098</v>
      </c>
      <c r="J36" s="6">
        <v>17.281300926719041</v>
      </c>
      <c r="L36" s="6">
        <v>40.38461538461538</v>
      </c>
      <c r="M36" s="6">
        <v>350.32</v>
      </c>
    </row>
    <row r="37" spans="8:13" x14ac:dyDescent="0.55000000000000004">
      <c r="H37" s="6">
        <v>12</v>
      </c>
      <c r="I37" s="6">
        <v>452.93726652646183</v>
      </c>
      <c r="J37" s="6">
        <v>48.882733473538167</v>
      </c>
      <c r="L37" s="6">
        <v>44.230769230769226</v>
      </c>
      <c r="M37" s="6">
        <v>384.41</v>
      </c>
    </row>
    <row r="38" spans="8:13" x14ac:dyDescent="0.55000000000000004">
      <c r="H38" s="6">
        <v>13</v>
      </c>
      <c r="I38" s="6">
        <v>404.63650599406833</v>
      </c>
      <c r="J38" s="6">
        <v>284.77349400593164</v>
      </c>
      <c r="L38" s="6">
        <v>48.076923076923073</v>
      </c>
      <c r="M38" s="6">
        <v>406.75</v>
      </c>
    </row>
    <row r="39" spans="8:13" x14ac:dyDescent="0.55000000000000004">
      <c r="H39" s="6">
        <v>14</v>
      </c>
      <c r="I39" s="6">
        <v>373.01437490963849</v>
      </c>
      <c r="J39" s="6">
        <v>-94.134374909638495</v>
      </c>
      <c r="L39" s="6">
        <v>51.92307692307692</v>
      </c>
      <c r="M39" s="6">
        <v>442.08</v>
      </c>
    </row>
    <row r="40" spans="8:13" x14ac:dyDescent="0.55000000000000004">
      <c r="H40" s="6">
        <v>15</v>
      </c>
      <c r="I40" s="6">
        <v>410.35401966367272</v>
      </c>
      <c r="J40" s="6">
        <v>-160.13401966367272</v>
      </c>
      <c r="L40" s="6">
        <v>55.769230769230766</v>
      </c>
      <c r="M40" s="6">
        <v>458.27</v>
      </c>
    </row>
    <row r="41" spans="8:13" x14ac:dyDescent="0.55000000000000004">
      <c r="H41" s="6">
        <v>16</v>
      </c>
      <c r="I41" s="6">
        <v>822.24431592076371</v>
      </c>
      <c r="J41" s="6">
        <v>391.58568407923622</v>
      </c>
      <c r="L41" s="6">
        <v>59.615384615384613</v>
      </c>
      <c r="M41" s="6">
        <v>467.16</v>
      </c>
    </row>
    <row r="42" spans="8:13" x14ac:dyDescent="0.55000000000000004">
      <c r="H42" s="6">
        <v>17</v>
      </c>
      <c r="I42" s="6">
        <v>331.75349417631674</v>
      </c>
      <c r="J42" s="6">
        <v>-57.793494176316756</v>
      </c>
      <c r="L42" s="6">
        <v>63.46153846153846</v>
      </c>
      <c r="M42" s="6">
        <v>488.73</v>
      </c>
    </row>
    <row r="43" spans="8:13" x14ac:dyDescent="0.55000000000000004">
      <c r="H43" s="6">
        <v>18</v>
      </c>
      <c r="I43" s="6">
        <v>431.84055833380381</v>
      </c>
      <c r="J43" s="6">
        <v>187.45944166619614</v>
      </c>
      <c r="L43" s="6">
        <v>67.307692307692307</v>
      </c>
      <c r="M43" s="6">
        <v>501.82</v>
      </c>
    </row>
    <row r="44" spans="8:13" x14ac:dyDescent="0.55000000000000004">
      <c r="H44" s="6">
        <v>19</v>
      </c>
      <c r="I44" s="6">
        <v>619.2572931801019</v>
      </c>
      <c r="J44" s="6">
        <v>-45.907293180101874</v>
      </c>
      <c r="L44" s="6">
        <v>71.153846153846146</v>
      </c>
      <c r="M44" s="6">
        <v>573.35</v>
      </c>
    </row>
    <row r="45" spans="8:13" x14ac:dyDescent="0.55000000000000004">
      <c r="H45" s="6">
        <v>20</v>
      </c>
      <c r="I45" s="6">
        <v>340.6125828702626</v>
      </c>
      <c r="J45" s="6">
        <v>444.27741712973739</v>
      </c>
      <c r="L45" s="6">
        <v>75</v>
      </c>
      <c r="M45" s="6">
        <v>598.47</v>
      </c>
    </row>
    <row r="46" spans="8:13" x14ac:dyDescent="0.55000000000000004">
      <c r="H46" s="6">
        <v>21</v>
      </c>
      <c r="I46" s="6">
        <v>377.9063652151824</v>
      </c>
      <c r="J46" s="6">
        <v>-93.516365215182418</v>
      </c>
      <c r="L46" s="6">
        <v>78.84615384615384</v>
      </c>
      <c r="M46" s="6">
        <v>619.29999999999995</v>
      </c>
    </row>
    <row r="47" spans="8:13" x14ac:dyDescent="0.55000000000000004">
      <c r="H47" s="6">
        <v>22</v>
      </c>
      <c r="I47" s="6">
        <v>338.2048063917527</v>
      </c>
      <c r="J47" s="6">
        <v>-86.524806391752691</v>
      </c>
      <c r="L47" s="6">
        <v>82.692307692307693</v>
      </c>
      <c r="M47" s="6">
        <v>673.09</v>
      </c>
    </row>
    <row r="48" spans="8:13" x14ac:dyDescent="0.55000000000000004">
      <c r="H48" s="6">
        <v>23</v>
      </c>
      <c r="I48" s="6">
        <v>455.47498649746274</v>
      </c>
      <c r="J48" s="6">
        <v>-208.67498649746273</v>
      </c>
      <c r="L48" s="6">
        <v>86.538461538461533</v>
      </c>
      <c r="M48" s="6">
        <v>689.41</v>
      </c>
    </row>
    <row r="49" spans="8:13" x14ac:dyDescent="0.55000000000000004">
      <c r="H49" s="6">
        <v>24</v>
      </c>
      <c r="I49" s="6">
        <v>347.85119977549709</v>
      </c>
      <c r="J49" s="6">
        <v>-1.9411997754970685</v>
      </c>
      <c r="L49" s="6">
        <v>90.384615384615387</v>
      </c>
      <c r="M49" s="6">
        <v>705.28</v>
      </c>
    </row>
    <row r="50" spans="8:13" x14ac:dyDescent="0.55000000000000004">
      <c r="H50" s="6">
        <v>25</v>
      </c>
      <c r="I50" s="6">
        <v>572.50056708789566</v>
      </c>
      <c r="J50" s="6">
        <v>-222.18056708789567</v>
      </c>
      <c r="L50" s="6">
        <v>94.230769230769226</v>
      </c>
      <c r="M50" s="6">
        <v>784.89</v>
      </c>
    </row>
    <row r="51" spans="8:13" ht="14.7" thickBot="1" x14ac:dyDescent="0.6">
      <c r="H51" s="7">
        <v>26</v>
      </c>
      <c r="I51" s="7">
        <v>543.66839922459621</v>
      </c>
      <c r="J51" s="7">
        <v>-101.58839922459623</v>
      </c>
      <c r="L51" s="7">
        <v>98.07692307692308</v>
      </c>
      <c r="M51" s="7">
        <v>1213.83</v>
      </c>
    </row>
  </sheetData>
  <sortState ref="M26:M51">
    <sortCondition ref="M26"/>
  </sortState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B53B-22BB-4343-82CA-085A0BF1B809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Academia de Studii Economice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stud</cp:lastModifiedBy>
  <dcterms:created xsi:type="dcterms:W3CDTF">2026-03-09T15:41:16Z</dcterms:created>
  <dcterms:modified xsi:type="dcterms:W3CDTF">2026-03-09T16:45:29Z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98e25f6115a84e668ff58691deda90aa</vt:lpwstr>
  </property>
</Properties>
</file>